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Calculator" sheetId="1" r:id="rId4"/>
  </sheets>
  <definedNames>
    <definedName name="CommissionAmount">'Income Calculator'!$H$12:$H$18</definedName>
    <definedName name="FullCommission">'Income Calculator'!$F$7</definedName>
    <definedName name="CommissionRate">'Income Calculator'!$F$12:$F$18</definedName>
  </definedNames>
  <calcPr/>
  <extLst>
    <ext uri="GoogleSheetsCustomDataVersion2">
      <go:sheetsCustomData xmlns:go="http://customooxmlschemas.google.com/" r:id="rId5" roundtripDataChecksum="UP3Ts7AcjQZcwzcNnMXejyzk8poSwpATOkXYYaYuEHE="/>
    </ext>
  </extLst>
</workbook>
</file>

<file path=xl/sharedStrings.xml><?xml version="1.0" encoding="utf-8"?>
<sst xmlns="http://schemas.openxmlformats.org/spreadsheetml/2006/main" count="25" uniqueCount="24">
  <si>
    <t>Sequoia Lending</t>
  </si>
  <si>
    <t>SIMERP Revenue Model</t>
  </si>
  <si>
    <t>Instructions</t>
  </si>
  <si>
    <t>1. Fill in yellow fields ONLY.</t>
  </si>
  <si>
    <t>2. See how much you earn in the red box.</t>
  </si>
  <si>
    <t xml:space="preserve">3. Sequoia Commission Per Employee is </t>
  </si>
  <si>
    <t>sdfad</t>
  </si>
  <si>
    <t>Consultants</t>
  </si>
  <si>
    <t>Employees</t>
  </si>
  <si>
    <t>Comission</t>
  </si>
  <si>
    <t>Revenue Tiers</t>
  </si>
  <si>
    <t>Generation</t>
  </si>
  <si>
    <t>Recruited</t>
  </si>
  <si>
    <t>Enrolled Per Advisor</t>
  </si>
  <si>
    <t>Rate</t>
  </si>
  <si>
    <t>Commission</t>
  </si>
  <si>
    <t>Monthly</t>
  </si>
  <si>
    <t>Annually</t>
  </si>
  <si>
    <t>Personal</t>
  </si>
  <si>
    <t>Personal Annual Income</t>
  </si>
  <si>
    <t>Passive Annual Income</t>
  </si>
  <si>
    <t>Total Annual Income</t>
  </si>
  <si>
    <t>Monthly Income</t>
  </si>
  <si>
    <t>*All examples in this document are for illustration purposes only, and not a guarantee of income.  Your results are entirely up to you and your own efforts.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</si>
</sst>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&quot;$&quot;#,##0.0"/>
    <numFmt numFmtId="166" formatCode="_(* #,##0_);_(* \(#,##0\);_(* &quot;-&quot;??_);_(@_)"/>
    <numFmt numFmtId="167" formatCode="0.0%"/>
    <numFmt numFmtId="168" formatCode="_(&quot;$&quot;* #,##0_);_(&quot;$&quot;* \(#,##0\);_(&quot;$&quot;* &quot;-&quot;??_);_(@_)"/>
    <numFmt numFmtId="169" formatCode="_(&quot;$&quot;* #,##0.00_);_(&quot;$&quot;* \(#,##0.00\);_(&quot;$&quot;* &quot;-&quot;??_);_(@_)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u/>
      <sz val="11.0"/>
      <color theme="1"/>
      <name val="Calibri"/>
    </font>
    <font/>
    <font>
      <u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</fills>
  <borders count="2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1" numFmtId="0" xfId="0" applyBorder="1" applyFon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/>
    </xf>
    <xf borderId="5" fillId="0" fontId="2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7" fillId="0" fontId="8" numFmtId="0" xfId="0" applyAlignment="1" applyBorder="1" applyFont="1">
      <alignment horizontal="center"/>
    </xf>
    <xf borderId="8" fillId="0" fontId="2" numFmtId="0" xfId="0" applyBorder="1" applyFont="1"/>
    <xf borderId="5" fillId="0" fontId="2" numFmtId="0" xfId="0" applyBorder="1" applyFont="1"/>
    <xf borderId="5" fillId="0" fontId="2" numFmtId="164" xfId="0" applyAlignment="1" applyBorder="1" applyFont="1" applyNumberFormat="1">
      <alignment horizontal="center"/>
    </xf>
    <xf borderId="0" fillId="0" fontId="2" numFmtId="165" xfId="0" applyFont="1" applyNumberFormat="1"/>
    <xf borderId="7" fillId="0" fontId="2" numFmtId="0" xfId="0" applyBorder="1" applyFont="1"/>
    <xf borderId="0" fillId="0" fontId="2" numFmtId="0" xfId="0" applyAlignment="1" applyFont="1">
      <alignment horizontal="right"/>
    </xf>
    <xf borderId="9" fillId="0" fontId="9" numFmtId="166" xfId="0" applyAlignment="1" applyBorder="1" applyFont="1" applyNumberFormat="1">
      <alignment horizontal="right"/>
    </xf>
    <xf borderId="10" fillId="2" fontId="9" numFmtId="166" xfId="0" applyAlignment="1" applyBorder="1" applyFill="1" applyFont="1" applyNumberFormat="1">
      <alignment horizontal="right" readingOrder="0"/>
    </xf>
    <xf borderId="5" fillId="0" fontId="10" numFmtId="167" xfId="0" applyAlignment="1" applyBorder="1" applyFont="1" applyNumberFormat="1">
      <alignment horizontal="right"/>
    </xf>
    <xf borderId="11" fillId="3" fontId="10" numFmtId="3" xfId="0" applyBorder="1" applyFill="1" applyFont="1" applyNumberFormat="1"/>
    <xf borderId="12" fillId="0" fontId="10" numFmtId="165" xfId="0" applyBorder="1" applyFont="1" applyNumberFormat="1"/>
    <xf borderId="12" fillId="4" fontId="10" numFmtId="165" xfId="0" applyAlignment="1" applyBorder="1" applyFill="1" applyFont="1" applyNumberFormat="1">
      <alignment horizontal="right"/>
    </xf>
    <xf borderId="13" fillId="4" fontId="10" numFmtId="165" xfId="0" applyBorder="1" applyFont="1" applyNumberFormat="1"/>
    <xf borderId="0" fillId="0" fontId="2" numFmtId="166" xfId="0" applyAlignment="1" applyFont="1" applyNumberFormat="1">
      <alignment horizontal="right"/>
    </xf>
    <xf borderId="0" fillId="0" fontId="2" numFmtId="168" xfId="0" applyFont="1" applyNumberFormat="1"/>
    <xf borderId="0" fillId="0" fontId="2" numFmtId="169" xfId="0" applyAlignment="1" applyFont="1" applyNumberFormat="1">
      <alignment horizontal="right"/>
    </xf>
    <xf borderId="11" fillId="2" fontId="9" numFmtId="166" xfId="0" applyAlignment="1" applyBorder="1" applyFont="1" applyNumberFormat="1">
      <alignment horizontal="right"/>
    </xf>
    <xf borderId="10" fillId="2" fontId="9" numFmtId="166" xfId="0" applyAlignment="1" applyBorder="1" applyFont="1" applyNumberFormat="1">
      <alignment horizontal="right"/>
    </xf>
    <xf borderId="0" fillId="0" fontId="9" numFmtId="9" xfId="0" applyAlignment="1" applyFont="1" applyNumberFormat="1">
      <alignment horizontal="right"/>
    </xf>
    <xf borderId="0" fillId="0" fontId="2" numFmtId="168" xfId="0" applyAlignment="1" applyFont="1" applyNumberFormat="1">
      <alignment horizontal="right"/>
    </xf>
    <xf borderId="0" fillId="0" fontId="2" numFmtId="169" xfId="0" applyFont="1" applyNumberFormat="1"/>
    <xf borderId="14" fillId="2" fontId="9" numFmtId="166" xfId="0" applyBorder="1" applyFont="1" applyNumberFormat="1"/>
    <xf borderId="15" fillId="2" fontId="9" numFmtId="166" xfId="0" applyAlignment="1" applyBorder="1" applyFont="1" applyNumberFormat="1">
      <alignment horizontal="right"/>
    </xf>
    <xf borderId="16" fillId="0" fontId="10" numFmtId="167" xfId="0" applyAlignment="1" applyBorder="1" applyFont="1" applyNumberFormat="1">
      <alignment horizontal="right"/>
    </xf>
    <xf borderId="14" fillId="3" fontId="10" numFmtId="3" xfId="0" applyBorder="1" applyFont="1" applyNumberFormat="1"/>
    <xf borderId="17" fillId="0" fontId="10" numFmtId="165" xfId="0" applyBorder="1" applyFont="1" applyNumberFormat="1"/>
    <xf borderId="17" fillId="4" fontId="10" numFmtId="165" xfId="0" applyAlignment="1" applyBorder="1" applyFont="1" applyNumberFormat="1">
      <alignment horizontal="right"/>
    </xf>
    <xf borderId="18" fillId="4" fontId="10" numFmtId="165" xfId="0" applyBorder="1" applyFont="1" applyNumberFormat="1"/>
    <xf borderId="0" fillId="0" fontId="2" numFmtId="166" xfId="0" applyFont="1" applyNumberFormat="1"/>
    <xf borderId="19" fillId="5" fontId="1" numFmtId="166" xfId="0" applyBorder="1" applyFill="1" applyFont="1" applyNumberFormat="1"/>
    <xf borderId="20" fillId="5" fontId="11" numFmtId="165" xfId="0" applyBorder="1" applyFont="1" applyNumberFormat="1"/>
    <xf borderId="21" fillId="5" fontId="1" numFmtId="166" xfId="0" applyBorder="1" applyFont="1" applyNumberFormat="1"/>
    <xf borderId="22" fillId="5" fontId="11" numFmtId="165" xfId="0" applyBorder="1" applyFont="1" applyNumberFormat="1"/>
    <xf borderId="0" fillId="0" fontId="1" numFmtId="166" xfId="0" applyAlignment="1" applyFont="1" applyNumberFormat="1">
      <alignment horizontal="right"/>
    </xf>
    <xf borderId="0" fillId="0" fontId="1" numFmtId="168" xfId="0" applyAlignment="1" applyFont="1" applyNumberFormat="1">
      <alignment horizontal="right"/>
    </xf>
    <xf borderId="0" fillId="0" fontId="1" numFmtId="166" xfId="0" applyFont="1" applyNumberFormat="1"/>
    <xf borderId="23" fillId="5" fontId="1" numFmtId="166" xfId="0" applyBorder="1" applyFont="1" applyNumberFormat="1"/>
    <xf borderId="24" fillId="5" fontId="11" numFmtId="165" xfId="0" applyBorder="1" applyFont="1" applyNumberFormat="1"/>
    <xf borderId="0" fillId="0" fontId="12" numFmtId="166" xfId="0" applyFont="1" applyNumberForma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4.43"/>
    <col customWidth="1" min="3" max="3" width="2.57"/>
    <col customWidth="1" min="4" max="4" width="22.71"/>
    <col customWidth="1" min="5" max="5" width="19.86"/>
    <col customWidth="1" min="6" max="6" width="14.43"/>
    <col customWidth="1" min="7" max="7" width="14.86"/>
    <col customWidth="1" min="8" max="8" width="16.14"/>
    <col customWidth="1" min="10" max="10" width="22.14"/>
    <col customWidth="1" min="12" max="12" width="3.71"/>
    <col customWidth="1" min="14" max="14" width="2.71"/>
    <col customWidth="1" min="16" max="16" width="2.86"/>
    <col customWidth="1" min="18" max="18" width="2.43"/>
    <col customWidth="1" min="20" max="20" width="2.29"/>
    <col customWidth="1" min="22" max="22" width="2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2"/>
      <c r="C4" s="2"/>
      <c r="D4" s="3" t="s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/>
      <c r="B5" s="2"/>
      <c r="C5" s="2"/>
      <c r="D5" s="4" t="s">
        <v>3</v>
      </c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/>
      <c r="B6" s="2"/>
      <c r="C6" s="2"/>
      <c r="D6" s="4" t="s">
        <v>4</v>
      </c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/>
      <c r="B7" s="2"/>
      <c r="C7" s="2"/>
      <c r="D7" s="4" t="s">
        <v>5</v>
      </c>
      <c r="E7" s="4"/>
      <c r="F7" s="5" t="s">
        <v>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2"/>
      <c r="W7" s="2"/>
      <c r="X7" s="2"/>
      <c r="Y7" s="2"/>
      <c r="Z7" s="2"/>
      <c r="AA7" s="2"/>
      <c r="AB7" s="2"/>
      <c r="AC7" s="2"/>
      <c r="AD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6"/>
      <c r="V8" s="2"/>
      <c r="W8" s="2"/>
      <c r="X8" s="2"/>
      <c r="Y8" s="2"/>
      <c r="Z8" s="2"/>
      <c r="AA8" s="2"/>
      <c r="AB8" s="2"/>
      <c r="AC8" s="2"/>
      <c r="AD8" s="2"/>
    </row>
    <row r="9">
      <c r="A9" s="2"/>
      <c r="B9" s="2"/>
      <c r="C9" s="2"/>
      <c r="D9" s="7" t="s">
        <v>7</v>
      </c>
      <c r="E9" s="8" t="s">
        <v>8</v>
      </c>
      <c r="F9" s="8" t="s">
        <v>9</v>
      </c>
      <c r="G9" s="9" t="s">
        <v>10</v>
      </c>
      <c r="H9" s="10"/>
      <c r="I9" s="10"/>
      <c r="J9" s="11"/>
      <c r="K9" s="2"/>
      <c r="L9" s="2"/>
      <c r="M9" s="6"/>
      <c r="N9" s="2"/>
      <c r="O9" s="6"/>
      <c r="P9" s="2"/>
      <c r="Q9" s="2"/>
      <c r="R9" s="2"/>
      <c r="S9" s="2"/>
      <c r="T9" s="2"/>
      <c r="U9" s="6"/>
      <c r="V9" s="2"/>
      <c r="W9" s="12"/>
      <c r="Z9" s="2"/>
      <c r="AA9" s="12"/>
    </row>
    <row r="10">
      <c r="A10" s="2"/>
      <c r="B10" s="13" t="s">
        <v>11</v>
      </c>
      <c r="C10" s="2"/>
      <c r="D10" s="14" t="s">
        <v>12</v>
      </c>
      <c r="E10" s="15" t="s">
        <v>13</v>
      </c>
      <c r="F10" s="15" t="s">
        <v>14</v>
      </c>
      <c r="G10" s="14" t="s">
        <v>8</v>
      </c>
      <c r="H10" s="15" t="s">
        <v>15</v>
      </c>
      <c r="I10" s="15" t="s">
        <v>16</v>
      </c>
      <c r="J10" s="16" t="s">
        <v>17</v>
      </c>
      <c r="K10" s="6"/>
      <c r="L10" s="2"/>
      <c r="M10" s="6"/>
      <c r="N10" s="2"/>
      <c r="O10" s="6"/>
      <c r="P10" s="2"/>
      <c r="Q10" s="6"/>
      <c r="R10" s="2"/>
      <c r="S10" s="6"/>
      <c r="T10" s="2"/>
      <c r="U10" s="6"/>
      <c r="V10" s="2"/>
      <c r="W10" s="6"/>
      <c r="X10" s="2"/>
      <c r="Y10" s="6"/>
      <c r="Z10" s="2"/>
      <c r="AA10" s="6"/>
      <c r="AB10" s="2"/>
      <c r="AC10" s="6"/>
      <c r="AD10" s="2"/>
    </row>
    <row r="11">
      <c r="A11" s="2"/>
      <c r="B11" s="2"/>
      <c r="C11" s="2"/>
      <c r="D11" s="17"/>
      <c r="E11" s="18"/>
      <c r="F11" s="18"/>
      <c r="G11" s="17"/>
      <c r="H11" s="19"/>
      <c r="I11" s="20"/>
      <c r="J11" s="2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/>
      <c r="B12" s="22" t="s">
        <v>18</v>
      </c>
      <c r="C12" s="2"/>
      <c r="D12" s="23"/>
      <c r="E12" s="24">
        <v>1000.0</v>
      </c>
      <c r="F12" s="25">
        <v>0.46</v>
      </c>
      <c r="G12" s="26">
        <f>E12</f>
        <v>1000</v>
      </c>
      <c r="H12" s="27" t="str">
        <f>F7*F12</f>
        <v>#VALUE!</v>
      </c>
      <c r="I12" s="28" t="str">
        <f t="shared" ref="I12:I18" si="1">G12*H12</f>
        <v>#VALUE!</v>
      </c>
      <c r="J12" s="29" t="str">
        <f t="shared" ref="J12:J18" si="2">I12*12</f>
        <v>#VALUE!</v>
      </c>
      <c r="K12" s="2"/>
      <c r="L12" s="2"/>
      <c r="M12" s="2"/>
      <c r="N12" s="2"/>
      <c r="O12" s="2"/>
      <c r="P12" s="2"/>
      <c r="Q12" s="30"/>
      <c r="R12" s="2"/>
      <c r="S12" s="30"/>
      <c r="T12" s="2"/>
      <c r="U12" s="30"/>
      <c r="V12" s="2"/>
      <c r="W12" s="31"/>
      <c r="X12" s="2"/>
      <c r="Y12" s="31"/>
      <c r="Z12" s="2"/>
      <c r="AA12" s="32"/>
      <c r="AB12" s="2"/>
      <c r="AC12" s="32"/>
      <c r="AD12" s="2"/>
    </row>
    <row r="13">
      <c r="A13" s="2"/>
      <c r="B13" s="22">
        <v>1.0</v>
      </c>
      <c r="C13" s="2"/>
      <c r="D13" s="33">
        <v>5.0</v>
      </c>
      <c r="E13" s="34">
        <v>100.0</v>
      </c>
      <c r="F13" s="25">
        <v>0.1</v>
      </c>
      <c r="G13" s="26">
        <f t="shared" ref="G13:G18" si="3">D13*E13</f>
        <v>500</v>
      </c>
      <c r="H13" s="27" t="str">
        <f>F7*F13</f>
        <v>#VALUE!</v>
      </c>
      <c r="I13" s="28" t="str">
        <f t="shared" si="1"/>
        <v>#VALUE!</v>
      </c>
      <c r="J13" s="29" t="str">
        <f t="shared" si="2"/>
        <v>#VALUE!</v>
      </c>
      <c r="K13" s="30"/>
      <c r="L13" s="2"/>
      <c r="M13" s="35"/>
      <c r="N13" s="2"/>
      <c r="O13" s="30"/>
      <c r="P13" s="2"/>
      <c r="Q13" s="30"/>
      <c r="R13" s="2"/>
      <c r="S13" s="30"/>
      <c r="T13" s="2"/>
      <c r="U13" s="30"/>
      <c r="V13" s="2"/>
      <c r="W13" s="36"/>
      <c r="X13" s="2"/>
      <c r="Y13" s="36"/>
      <c r="Z13" s="2"/>
      <c r="AA13" s="32"/>
      <c r="AB13" s="2"/>
      <c r="AC13" s="32"/>
      <c r="AD13" s="2"/>
    </row>
    <row r="14">
      <c r="A14" s="2"/>
      <c r="B14" s="22">
        <v>2.0</v>
      </c>
      <c r="C14" s="2"/>
      <c r="D14" s="33">
        <v>0.0</v>
      </c>
      <c r="E14" s="34">
        <v>0.0</v>
      </c>
      <c r="F14" s="25">
        <v>0.05</v>
      </c>
      <c r="G14" s="26">
        <f t="shared" si="3"/>
        <v>0</v>
      </c>
      <c r="H14" s="27" t="str">
        <f>F7*F14</f>
        <v>#VALUE!</v>
      </c>
      <c r="I14" s="28" t="str">
        <f t="shared" si="1"/>
        <v>#VALUE!</v>
      </c>
      <c r="J14" s="29" t="str">
        <f t="shared" si="2"/>
        <v>#VALUE!</v>
      </c>
      <c r="K14" s="30"/>
      <c r="L14" s="2"/>
      <c r="M14" s="35"/>
      <c r="N14" s="2"/>
      <c r="O14" s="30"/>
      <c r="P14" s="2"/>
      <c r="Q14" s="30"/>
      <c r="R14" s="2"/>
      <c r="S14" s="30"/>
      <c r="T14" s="2"/>
      <c r="U14" s="30"/>
      <c r="V14" s="2"/>
      <c r="W14" s="36"/>
      <c r="X14" s="2"/>
      <c r="Y14" s="36"/>
      <c r="Z14" s="2"/>
      <c r="AA14" s="32"/>
      <c r="AB14" s="2"/>
      <c r="AC14" s="32"/>
      <c r="AD14" s="2"/>
    </row>
    <row r="15">
      <c r="A15" s="2"/>
      <c r="B15" s="22">
        <v>3.0</v>
      </c>
      <c r="C15" s="2"/>
      <c r="D15" s="33">
        <v>0.0</v>
      </c>
      <c r="E15" s="34">
        <v>0.0</v>
      </c>
      <c r="F15" s="25">
        <v>0.03</v>
      </c>
      <c r="G15" s="26">
        <f t="shared" si="3"/>
        <v>0</v>
      </c>
      <c r="H15" s="27" t="str">
        <f>F7*F15</f>
        <v>#VALUE!</v>
      </c>
      <c r="I15" s="28" t="str">
        <f t="shared" si="1"/>
        <v>#VALUE!</v>
      </c>
      <c r="J15" s="29" t="str">
        <f t="shared" si="2"/>
        <v>#VALUE!</v>
      </c>
      <c r="K15" s="30"/>
      <c r="L15" s="2"/>
      <c r="M15" s="35"/>
      <c r="N15" s="2"/>
      <c r="O15" s="30"/>
      <c r="P15" s="2"/>
      <c r="Q15" s="30"/>
      <c r="R15" s="2"/>
      <c r="S15" s="30"/>
      <c r="T15" s="2"/>
      <c r="U15" s="30"/>
      <c r="V15" s="2"/>
      <c r="W15" s="36"/>
      <c r="X15" s="2"/>
      <c r="Y15" s="36"/>
      <c r="Z15" s="2"/>
      <c r="AA15" s="32"/>
      <c r="AB15" s="2"/>
      <c r="AC15" s="32"/>
      <c r="AD15" s="2"/>
    </row>
    <row r="16">
      <c r="A16" s="2"/>
      <c r="B16" s="22">
        <v>4.0</v>
      </c>
      <c r="C16" s="2"/>
      <c r="D16" s="33">
        <v>0.0</v>
      </c>
      <c r="E16" s="34">
        <v>0.0</v>
      </c>
      <c r="F16" s="25">
        <v>0.015</v>
      </c>
      <c r="G16" s="26">
        <f t="shared" si="3"/>
        <v>0</v>
      </c>
      <c r="H16" s="27" t="str">
        <f>F7*F16</f>
        <v>#VALUE!</v>
      </c>
      <c r="I16" s="28" t="str">
        <f t="shared" si="1"/>
        <v>#VALUE!</v>
      </c>
      <c r="J16" s="29" t="str">
        <f t="shared" si="2"/>
        <v>#VALUE!</v>
      </c>
      <c r="K16" s="30"/>
      <c r="L16" s="2"/>
      <c r="M16" s="35"/>
      <c r="N16" s="2"/>
      <c r="O16" s="30"/>
      <c r="P16" s="2"/>
      <c r="Q16" s="30"/>
      <c r="R16" s="2"/>
      <c r="S16" s="30"/>
      <c r="T16" s="2"/>
      <c r="U16" s="30"/>
      <c r="V16" s="2"/>
      <c r="W16" s="36"/>
      <c r="X16" s="2"/>
      <c r="Y16" s="36"/>
      <c r="Z16" s="2"/>
      <c r="AA16" s="37"/>
      <c r="AB16" s="2"/>
      <c r="AC16" s="37"/>
      <c r="AD16" s="2"/>
    </row>
    <row r="17">
      <c r="A17" s="2"/>
      <c r="B17" s="22">
        <v>5.0</v>
      </c>
      <c r="C17" s="2"/>
      <c r="D17" s="33">
        <v>0.0</v>
      </c>
      <c r="E17" s="34">
        <v>0.0</v>
      </c>
      <c r="F17" s="25">
        <v>0.015</v>
      </c>
      <c r="G17" s="26">
        <f t="shared" si="3"/>
        <v>0</v>
      </c>
      <c r="H17" s="27" t="str">
        <f>F7*F17</f>
        <v>#VALUE!</v>
      </c>
      <c r="I17" s="28" t="str">
        <f t="shared" si="1"/>
        <v>#VALUE!</v>
      </c>
      <c r="J17" s="29" t="str">
        <f t="shared" si="2"/>
        <v>#VALUE!</v>
      </c>
      <c r="K17" s="30"/>
      <c r="L17" s="2"/>
      <c r="M17" s="35"/>
      <c r="N17" s="2"/>
      <c r="O17" s="30"/>
      <c r="P17" s="2"/>
      <c r="Q17" s="30"/>
      <c r="R17" s="2"/>
      <c r="S17" s="30"/>
      <c r="T17" s="2"/>
      <c r="U17" s="30"/>
      <c r="V17" s="2"/>
      <c r="W17" s="36"/>
      <c r="X17" s="2"/>
      <c r="Y17" s="36"/>
      <c r="Z17" s="2"/>
      <c r="AA17" s="37"/>
      <c r="AB17" s="2"/>
      <c r="AC17" s="37"/>
      <c r="AD17" s="2"/>
    </row>
    <row r="18">
      <c r="A18" s="2"/>
      <c r="B18" s="22">
        <v>6.0</v>
      </c>
      <c r="C18" s="2"/>
      <c r="D18" s="38">
        <v>0.0</v>
      </c>
      <c r="E18" s="39">
        <v>0.0</v>
      </c>
      <c r="F18" s="40">
        <v>0.01</v>
      </c>
      <c r="G18" s="41">
        <f t="shared" si="3"/>
        <v>0</v>
      </c>
      <c r="H18" s="42" t="str">
        <f>F7*F18</f>
        <v>#VALUE!</v>
      </c>
      <c r="I18" s="43" t="str">
        <f t="shared" si="1"/>
        <v>#VALUE!</v>
      </c>
      <c r="J18" s="44" t="str">
        <f t="shared" si="2"/>
        <v>#VALUE!</v>
      </c>
      <c r="K18" s="30"/>
      <c r="L18" s="2"/>
      <c r="M18" s="35"/>
      <c r="N18" s="2"/>
      <c r="O18" s="30"/>
      <c r="P18" s="2"/>
      <c r="Q18" s="30"/>
      <c r="R18" s="2"/>
      <c r="S18" s="30"/>
      <c r="T18" s="2"/>
      <c r="U18" s="30"/>
      <c r="V18" s="2"/>
      <c r="W18" s="36"/>
      <c r="X18" s="2"/>
      <c r="Y18" s="36"/>
      <c r="Z18" s="2"/>
      <c r="AA18" s="37"/>
      <c r="AB18" s="2"/>
      <c r="AC18" s="37"/>
      <c r="AD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45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/>
      <c r="B20" s="2"/>
      <c r="C20" s="2"/>
      <c r="D20" s="46" t="s">
        <v>19</v>
      </c>
      <c r="E20" s="47" t="str">
        <f>J12</f>
        <v>#VALUE!</v>
      </c>
      <c r="F20" s="45"/>
      <c r="G20" s="45"/>
      <c r="H20" s="45"/>
      <c r="I20" s="45"/>
      <c r="J20" s="2"/>
      <c r="K20" s="30"/>
      <c r="L20" s="2"/>
      <c r="M20" s="2"/>
      <c r="N20" s="2"/>
      <c r="O20" s="30"/>
      <c r="P20" s="2"/>
      <c r="Q20" s="30"/>
      <c r="R20" s="2"/>
      <c r="S20" s="30"/>
      <c r="T20" s="2"/>
      <c r="U20" s="30"/>
      <c r="V20" s="2"/>
      <c r="W20" s="36"/>
      <c r="X20" s="2"/>
      <c r="Y20" s="36"/>
      <c r="Z20" s="2"/>
      <c r="AA20" s="32"/>
      <c r="AB20" s="37"/>
      <c r="AC20" s="32"/>
      <c r="AD20" s="2"/>
    </row>
    <row r="21" ht="15.75" customHeight="1">
      <c r="A21" s="2"/>
      <c r="B21" s="2"/>
      <c r="C21" s="2"/>
      <c r="D21" s="48" t="s">
        <v>20</v>
      </c>
      <c r="E21" s="49" t="str">
        <f>SUM(J13:J18)</f>
        <v>#VALUE!</v>
      </c>
      <c r="F21" s="50"/>
      <c r="G21" s="45"/>
      <c r="H21" s="51"/>
      <c r="I21" s="45"/>
      <c r="J21" s="2"/>
      <c r="K21" s="30"/>
      <c r="L21" s="2"/>
      <c r="M21" s="2"/>
      <c r="N21" s="2"/>
      <c r="O21" s="30"/>
      <c r="P21" s="2"/>
      <c r="Q21" s="30"/>
      <c r="R21" s="2"/>
      <c r="S21" s="30"/>
      <c r="T21" s="2"/>
      <c r="U21" s="30"/>
      <c r="V21" s="2"/>
      <c r="W21" s="36"/>
      <c r="X21" s="2"/>
      <c r="Y21" s="36"/>
      <c r="Z21" s="2"/>
      <c r="AA21" s="32"/>
      <c r="AB21" s="37"/>
      <c r="AC21" s="32"/>
      <c r="AD21" s="2"/>
    </row>
    <row r="22" ht="15.75" customHeight="1">
      <c r="A22" s="2"/>
      <c r="B22" s="2"/>
      <c r="C22" s="2"/>
      <c r="D22" s="48" t="s">
        <v>21</v>
      </c>
      <c r="E22" s="49" t="str">
        <f>E20+E21</f>
        <v>#VALUE!</v>
      </c>
      <c r="F22" s="52"/>
      <c r="G22" s="45"/>
      <c r="H22" s="51"/>
      <c r="I22" s="45"/>
      <c r="J22" s="2"/>
      <c r="K22" s="30"/>
      <c r="L22" s="2"/>
      <c r="M22" s="2"/>
      <c r="N22" s="2"/>
      <c r="O22" s="30"/>
      <c r="P22" s="2"/>
      <c r="Q22" s="30"/>
      <c r="R22" s="2"/>
      <c r="S22" s="30"/>
      <c r="T22" s="2"/>
      <c r="U22" s="30"/>
      <c r="V22" s="2"/>
      <c r="W22" s="36"/>
      <c r="X22" s="2"/>
      <c r="Y22" s="36"/>
      <c r="Z22" s="2"/>
      <c r="AA22" s="32"/>
      <c r="AB22" s="37"/>
      <c r="AC22" s="32"/>
      <c r="AD22" s="2"/>
    </row>
    <row r="23" ht="15.75" customHeight="1">
      <c r="A23" s="2"/>
      <c r="B23" s="2"/>
      <c r="C23" s="2"/>
      <c r="D23" s="53" t="s">
        <v>22</v>
      </c>
      <c r="E23" s="54" t="str">
        <f>E22/12</f>
        <v>#VALUE!</v>
      </c>
      <c r="F23" s="52"/>
      <c r="G23" s="45"/>
      <c r="H23" s="51"/>
      <c r="I23" s="45"/>
      <c r="J23" s="2"/>
      <c r="K23" s="30"/>
      <c r="L23" s="2"/>
      <c r="M23" s="2"/>
      <c r="N23" s="2"/>
      <c r="O23" s="30"/>
      <c r="P23" s="2"/>
      <c r="Q23" s="30"/>
      <c r="R23" s="2"/>
      <c r="S23" s="30"/>
      <c r="T23" s="2"/>
      <c r="U23" s="30"/>
      <c r="V23" s="2"/>
      <c r="W23" s="36"/>
      <c r="X23" s="2"/>
      <c r="Y23" s="36"/>
      <c r="Z23" s="2"/>
      <c r="AA23" s="32"/>
      <c r="AB23" s="37"/>
      <c r="AC23" s="32"/>
      <c r="AD23" s="2"/>
    </row>
    <row r="24" ht="15.75" customHeight="1">
      <c r="A24" s="2"/>
      <c r="B24" s="2"/>
      <c r="C24" s="2"/>
      <c r="D24" s="55" t="s">
        <v>23</v>
      </c>
      <c r="E24" s="45"/>
      <c r="F24" s="52"/>
      <c r="G24" s="45"/>
      <c r="H24" s="51"/>
      <c r="I24" s="45"/>
      <c r="J24" s="2"/>
      <c r="K24" s="30"/>
      <c r="L24" s="2"/>
      <c r="M24" s="2"/>
      <c r="N24" s="2"/>
      <c r="O24" s="30"/>
      <c r="P24" s="2"/>
      <c r="Q24" s="30"/>
      <c r="R24" s="2"/>
      <c r="S24" s="30"/>
      <c r="T24" s="2"/>
      <c r="U24" s="30"/>
      <c r="V24" s="2"/>
      <c r="W24" s="36"/>
      <c r="X24" s="2"/>
      <c r="Y24" s="36"/>
      <c r="Z24" s="2"/>
      <c r="AA24" s="32"/>
      <c r="AB24" s="37"/>
      <c r="AC24" s="32"/>
      <c r="AD24" s="2"/>
    </row>
    <row r="25" ht="15.75" customHeight="1">
      <c r="A25" s="2"/>
      <c r="B25" s="2"/>
      <c r="C25" s="2"/>
      <c r="D25" s="2"/>
      <c r="E25" s="45"/>
      <c r="F25" s="52"/>
      <c r="G25" s="45"/>
      <c r="H25" s="51"/>
      <c r="I25" s="45"/>
      <c r="J25" s="2"/>
      <c r="K25" s="30"/>
      <c r="L25" s="2"/>
      <c r="M25" s="2"/>
      <c r="N25" s="2"/>
      <c r="O25" s="30"/>
      <c r="P25" s="2"/>
      <c r="Q25" s="30"/>
      <c r="R25" s="2"/>
      <c r="S25" s="30"/>
      <c r="T25" s="2"/>
      <c r="U25" s="30"/>
      <c r="V25" s="2"/>
      <c r="W25" s="36"/>
      <c r="X25" s="2"/>
      <c r="Y25" s="36"/>
      <c r="Z25" s="2"/>
      <c r="AA25" s="32"/>
      <c r="AB25" s="37"/>
      <c r="AC25" s="32"/>
      <c r="AD25" s="2"/>
    </row>
    <row r="26" ht="15.75" customHeight="1">
      <c r="A26" s="2"/>
      <c r="B26" s="2"/>
      <c r="C26" s="2"/>
      <c r="D26" s="2"/>
      <c r="E26" s="45"/>
      <c r="F26" s="45"/>
      <c r="G26" s="45"/>
      <c r="H26" s="45"/>
      <c r="I26" s="45"/>
      <c r="J26" s="2"/>
      <c r="K26" s="30"/>
      <c r="L26" s="2"/>
      <c r="M26" s="2"/>
      <c r="N26" s="2"/>
      <c r="O26" s="30"/>
      <c r="P26" s="2"/>
      <c r="Q26" s="30"/>
      <c r="R26" s="2"/>
      <c r="S26" s="30"/>
      <c r="T26" s="2"/>
      <c r="U26" s="30"/>
      <c r="V26" s="2"/>
      <c r="W26" s="36"/>
      <c r="X26" s="2"/>
      <c r="Y26" s="36"/>
      <c r="Z26" s="2"/>
      <c r="AA26" s="32"/>
      <c r="AB26" s="37"/>
      <c r="AC26" s="32"/>
      <c r="AD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5.75" customHeight="1">
      <c r="A36" s="2"/>
      <c r="B36" s="2"/>
      <c r="C36" s="2"/>
      <c r="D36" s="5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9:J9"/>
    <mergeCell ref="W9:Y9"/>
    <mergeCell ref="AA9:AD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2024-04-30T17:43:58Z</dcterms:created>
  <dc:creator>Ted</dc:creator>
</cp:coreProperties>
</file>